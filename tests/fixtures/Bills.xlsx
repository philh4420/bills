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higdon/Desktop/"/>
    </mc:Choice>
  </mc:AlternateContent>
  <xr:revisionPtr revIDLastSave="0" documentId="13_ncr:1_{51BB405C-CA4E-FF4D-A967-DE78BD86E8F8}" xr6:coauthVersionLast="47" xr6:coauthVersionMax="47" xr10:uidLastSave="{00000000-0000-0000-0000-000000000000}"/>
  <bookViews>
    <workbookView xWindow="0" yWindow="600" windowWidth="38400" windowHeight="19820" activeTab="1" xr2:uid="{A2FF1FD3-5BEE-7044-BD9B-9ED5712DF98F}"/>
  </bookViews>
  <sheets>
    <sheet name="Ongoing Bills 2026" sheetId="20" r:id="rId1"/>
    <sheet name="PURCHASES NEXT YEAR OR SO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1" l="1"/>
  <c r="E26" i="20"/>
  <c r="E29" i="20" s="1"/>
  <c r="C37" i="20"/>
  <c r="C33" i="20"/>
  <c r="I17" i="20"/>
  <c r="I16" i="20"/>
  <c r="I15" i="20"/>
  <c r="I14" i="20"/>
  <c r="I13" i="20"/>
  <c r="I12" i="20"/>
  <c r="I11" i="20"/>
  <c r="I10" i="20"/>
  <c r="I9" i="20"/>
  <c r="I8" i="20"/>
  <c r="I7" i="20"/>
  <c r="G18" i="20"/>
  <c r="E27" i="20"/>
  <c r="C29" i="20"/>
  <c r="E23" i="20"/>
  <c r="D18" i="20"/>
  <c r="E18" i="20"/>
  <c r="F18" i="20"/>
  <c r="H18" i="20"/>
  <c r="C18" i="20"/>
  <c r="H22" i="20" l="1"/>
  <c r="H27" i="20"/>
  <c r="H24" i="20"/>
  <c r="H21" i="20"/>
  <c r="H23" i="20"/>
  <c r="H26" i="20"/>
  <c r="H28" i="20"/>
  <c r="H29" i="20"/>
  <c r="H30" i="20"/>
  <c r="H31" i="20"/>
  <c r="H25" i="20"/>
</calcChain>
</file>

<file path=xl/sharedStrings.xml><?xml version="1.0" encoding="utf-8"?>
<sst xmlns="http://schemas.openxmlformats.org/spreadsheetml/2006/main" count="59" uniqueCount="54">
  <si>
    <t>Sky</t>
  </si>
  <si>
    <t>Energy</t>
  </si>
  <si>
    <t>Total</t>
  </si>
  <si>
    <t>Disney+</t>
  </si>
  <si>
    <t>Fluid</t>
  </si>
  <si>
    <t>Marbles</t>
  </si>
  <si>
    <t>Zopa</t>
  </si>
  <si>
    <t>Zable</t>
  </si>
  <si>
    <t>Food</t>
  </si>
  <si>
    <t>Water</t>
  </si>
  <si>
    <t>Apple 1</t>
  </si>
  <si>
    <t>Limit</t>
  </si>
  <si>
    <t>Apple Mac Mini</t>
  </si>
  <si>
    <t>Apple Magic Keyboard</t>
  </si>
  <si>
    <t>Apple TV</t>
  </si>
  <si>
    <t>Magic Keyboard</t>
  </si>
  <si>
    <t>Mac Mini</t>
  </si>
  <si>
    <t>IPad</t>
  </si>
  <si>
    <t>Home Pod</t>
  </si>
  <si>
    <t>Apple Ipad Mini + Extras</t>
  </si>
  <si>
    <t>Mum</t>
  </si>
  <si>
    <t>Amazon</t>
  </si>
  <si>
    <t>Microsoft</t>
  </si>
  <si>
    <t>Enix Ltd Web</t>
  </si>
  <si>
    <t>Paddle</t>
  </si>
  <si>
    <t>EE Phone</t>
  </si>
  <si>
    <t>PIP</t>
  </si>
  <si>
    <t>U/C</t>
  </si>
  <si>
    <t>Shopping</t>
  </si>
  <si>
    <t>ChatGTP</t>
  </si>
  <si>
    <t>Home Pod Mini * 2</t>
  </si>
  <si>
    <t>Name</t>
  </si>
  <si>
    <t>Used Limit</t>
  </si>
  <si>
    <t>Payments</t>
  </si>
  <si>
    <t>Left To Pay</t>
  </si>
  <si>
    <t>Vanquis</t>
  </si>
  <si>
    <t>EE BB</t>
  </si>
  <si>
    <t>Spend/ Mth</t>
  </si>
  <si>
    <t>Water @ £1.45</t>
  </si>
  <si>
    <t>Credit Cards</t>
  </si>
  <si>
    <t>House Bills</t>
  </si>
  <si>
    <t>Income</t>
  </si>
  <si>
    <t>Money Left</t>
  </si>
  <si>
    <t>My Bills</t>
  </si>
  <si>
    <t>Baccy @ £39.75</t>
  </si>
  <si>
    <t>Capital One</t>
  </si>
  <si>
    <t>GIM wireless charging mouse mat</t>
  </si>
  <si>
    <t>DIVCHI Round trash can</t>
  </si>
  <si>
    <t>ELFORDSON LED gaming chair</t>
  </si>
  <si>
    <t>AkerWork Mini tripod</t>
  </si>
  <si>
    <t>UGREEN Webcam</t>
  </si>
  <si>
    <t>UGREEN USB Microphone</t>
  </si>
  <si>
    <t>Led Desklamp</t>
  </si>
  <si>
    <t>Updated Woden desktop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</si>
</sst>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8" x14ac:knownFonts="1">
    <font>
      <sz val="12"/>
      <color theme="1"/>
      <name val="Aptos Narrow"/>
      <family val="2"/>
      <scheme val="minor"/>
    </font>
    <font>
      <sz val="24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24"/>
      <color theme="10"/>
      <name val="Arial"/>
      <family val="2"/>
    </font>
    <font>
      <sz val="24"/>
      <color rgb="FF1D1D1F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3" fillId="0" borderId="1" xfId="1" applyFont="1" applyBorder="1"/>
    <xf numFmtId="4" fontId="4" fillId="0" borderId="1" xfId="0" applyNumberFormat="1" applyFont="1" applyBorder="1"/>
    <xf numFmtId="0" fontId="0" fillId="0" borderId="1" xfId="0" applyBorder="1"/>
    <xf numFmtId="164" fontId="0" fillId="0" borderId="0" xfId="0" applyNumberFormat="1"/>
    <xf numFmtId="0" fontId="5" fillId="0" borderId="2" xfId="0" applyFont="1" applyBorder="1"/>
    <xf numFmtId="0" fontId="5" fillId="0" borderId="0" xfId="0" applyFont="1"/>
    <xf numFmtId="0" fontId="5" fillId="0" borderId="4" xfId="0" applyFont="1" applyBorder="1"/>
    <xf numFmtId="164" fontId="5" fillId="0" borderId="2" xfId="0" applyNumberFormat="1" applyFont="1" applyBorder="1"/>
    <xf numFmtId="14" fontId="5" fillId="0" borderId="2" xfId="0" applyNumberFormat="1" applyFont="1" applyBorder="1"/>
    <xf numFmtId="164" fontId="6" fillId="0" borderId="2" xfId="0" applyNumberFormat="1" applyFont="1" applyBorder="1"/>
    <xf numFmtId="164" fontId="6" fillId="0" borderId="6" xfId="0" applyNumberFormat="1" applyFont="1" applyBorder="1"/>
    <xf numFmtId="164" fontId="5" fillId="0" borderId="0" xfId="0" applyNumberFormat="1" applyFont="1"/>
    <xf numFmtId="0" fontId="5" fillId="0" borderId="3" xfId="0" applyFont="1" applyBorder="1"/>
    <xf numFmtId="164" fontId="5" fillId="0" borderId="4" xfId="0" applyNumberFormat="1" applyFont="1" applyBorder="1"/>
    <xf numFmtId="0" fontId="5" fillId="0" borderId="5" xfId="0" applyFont="1" applyBorder="1"/>
    <xf numFmtId="164" fontId="5" fillId="0" borderId="5" xfId="0" applyNumberFormat="1" applyFont="1" applyBorder="1"/>
    <xf numFmtId="0" fontId="7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ple.com/uk/shop/buy-ipad/ipad-air/13-inch-display-512gb-space-grey-wifi" TargetMode="External"/><Relationship Id="rId2" Type="http://schemas.openxmlformats.org/officeDocument/2006/relationships/hyperlink" Target="https://www.apple.com/uk/shop/buy-mac/mac-mini/apple-m4-chip-with-10-core-cpu-and-10-core-gpu-16gb-memory-256gb" TargetMode="External"/><Relationship Id="rId1" Type="http://schemas.openxmlformats.org/officeDocument/2006/relationships/hyperlink" Target="https://www.apple.com/uk/shop/product/MXK83B/A/magic-keyboard-with-touch-id-and-numeric-keypad-for-mac-models-with-apple-silicon-usb%E2%80%91c-british-english-black-keys?fnode=f01e1b88f7f5d701b6d81d64e46a88f98431b9174b2a4a9991b9ea5e845b9cf27c177cd8c12a3efc925c9de8239d15de7fbadfa5a30858cd4bebc9a6b9b10e1d48bc4824acef7ab8d1d7c6583064181a875c3852ff9e89d6bbb59b7cfb073dd6" TargetMode="External"/><Relationship Id="rId5" Type="http://schemas.openxmlformats.org/officeDocument/2006/relationships/hyperlink" Target="https://www.apple.com/uk/homepod-mini/" TargetMode="External"/><Relationship Id="rId4" Type="http://schemas.openxmlformats.org/officeDocument/2006/relationships/hyperlink" Target="https://www.apple.com/uk/shop/buy-tv/apple-tv-4k/128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D89-5510-C446-AD2A-F9DC4981C2A1}">
  <sheetPr>
    <pageSetUpPr fitToPage="1"/>
  </sheetPr>
  <dimension ref="B1:K37"/>
  <sheetViews>
    <sheetView workbookViewId="0">
      <selection activeCell="H35" sqref="H35"/>
    </sheetView>
  </sheetViews>
  <sheetFormatPr baseColWidth="10" defaultRowHeight="16" x14ac:dyDescent="0.2"/>
  <cols>
    <col min="2" max="2" width="33.5" bestFit="1" customWidth="1"/>
    <col min="3" max="3" width="19.83203125" bestFit="1" customWidth="1"/>
    <col min="4" max="4" width="31.6640625" bestFit="1" customWidth="1"/>
    <col min="5" max="5" width="19.83203125" bestFit="1" customWidth="1"/>
    <col min="6" max="6" width="22.6640625" bestFit="1" customWidth="1"/>
    <col min="7" max="7" width="25.1640625" bestFit="1" customWidth="1"/>
    <col min="8" max="8" width="19.83203125" bestFit="1" customWidth="1"/>
    <col min="9" max="9" width="22.5" bestFit="1" customWidth="1"/>
  </cols>
  <sheetData>
    <row r="1" spans="2:11" ht="17" thickBot="1" x14ac:dyDescent="0.25"/>
    <row r="2" spans="2:11" ht="21" thickBot="1" x14ac:dyDescent="0.25">
      <c r="B2" s="7" t="s">
        <v>39</v>
      </c>
      <c r="C2" s="8"/>
      <c r="D2" s="8"/>
      <c r="E2" s="8"/>
      <c r="F2" s="8"/>
      <c r="G2" s="8"/>
      <c r="H2" s="8"/>
      <c r="I2" s="8"/>
    </row>
    <row r="3" spans="2:11" ht="21" thickBot="1" x14ac:dyDescent="0.25">
      <c r="B3" s="7" t="s">
        <v>31</v>
      </c>
      <c r="C3" s="7" t="s">
        <v>4</v>
      </c>
      <c r="D3" s="7" t="s">
        <v>5</v>
      </c>
      <c r="E3" s="7" t="s">
        <v>6</v>
      </c>
      <c r="F3" s="7" t="s">
        <v>35</v>
      </c>
      <c r="G3" s="7" t="s">
        <v>45</v>
      </c>
      <c r="H3" s="7" t="s">
        <v>7</v>
      </c>
      <c r="I3" s="9" t="s">
        <v>37</v>
      </c>
    </row>
    <row r="4" spans="2:11" ht="21" thickBot="1" x14ac:dyDescent="0.25">
      <c r="B4" s="7" t="s">
        <v>11</v>
      </c>
      <c r="C4" s="10">
        <v>450</v>
      </c>
      <c r="D4" s="10">
        <v>600</v>
      </c>
      <c r="E4" s="10">
        <v>500</v>
      </c>
      <c r="F4" s="10">
        <v>1000</v>
      </c>
      <c r="G4" s="10">
        <v>200</v>
      </c>
      <c r="H4" s="10">
        <v>1000</v>
      </c>
      <c r="I4" s="7"/>
    </row>
    <row r="5" spans="2:11" ht="21" thickBot="1" x14ac:dyDescent="0.25">
      <c r="B5" s="7" t="s">
        <v>32</v>
      </c>
      <c r="C5" s="10">
        <v>398.08</v>
      </c>
      <c r="D5" s="10">
        <v>542.12</v>
      </c>
      <c r="E5" s="10">
        <v>495.74</v>
      </c>
      <c r="F5" s="10">
        <v>979.44</v>
      </c>
      <c r="G5" s="10">
        <v>198.69</v>
      </c>
      <c r="H5" s="10">
        <v>991.45</v>
      </c>
      <c r="I5" s="7"/>
    </row>
    <row r="6" spans="2:11" ht="21" thickBot="1" x14ac:dyDescent="0.25">
      <c r="B6" s="7" t="s">
        <v>33</v>
      </c>
      <c r="C6" s="10"/>
      <c r="D6" s="10"/>
      <c r="E6" s="10"/>
      <c r="F6" s="10"/>
      <c r="G6" s="10"/>
      <c r="H6" s="10"/>
      <c r="I6" s="7"/>
    </row>
    <row r="7" spans="2:11" ht="21" thickBot="1" x14ac:dyDescent="0.25">
      <c r="B7" s="11">
        <v>46023</v>
      </c>
      <c r="C7" s="10">
        <v>66.349999999999994</v>
      </c>
      <c r="D7" s="10">
        <v>90.35</v>
      </c>
      <c r="E7" s="10">
        <v>82.62</v>
      </c>
      <c r="F7" s="10">
        <v>163.24</v>
      </c>
      <c r="G7" s="10">
        <v>33.119999999999997</v>
      </c>
      <c r="H7" s="10">
        <v>165.24</v>
      </c>
      <c r="I7" s="10">
        <f t="shared" ref="I7:I17" si="0">SUM(C7+D7+E7+F7+G7+H7)</f>
        <v>600.92000000000007</v>
      </c>
    </row>
    <row r="8" spans="2:11" ht="21" thickBot="1" x14ac:dyDescent="0.25">
      <c r="B8" s="11">
        <v>46054</v>
      </c>
      <c r="C8" s="10">
        <v>66.349999999999994</v>
      </c>
      <c r="D8" s="10">
        <v>90.35</v>
      </c>
      <c r="E8" s="10">
        <v>82.62</v>
      </c>
      <c r="F8" s="10">
        <v>163.24</v>
      </c>
      <c r="G8" s="10">
        <v>33.119999999999997</v>
      </c>
      <c r="H8" s="10">
        <v>165.24</v>
      </c>
      <c r="I8" s="10">
        <f t="shared" si="0"/>
        <v>600.92000000000007</v>
      </c>
    </row>
    <row r="9" spans="2:11" ht="21" thickBot="1" x14ac:dyDescent="0.25">
      <c r="B9" s="11">
        <v>46082</v>
      </c>
      <c r="C9" s="10">
        <v>66.349999999999994</v>
      </c>
      <c r="D9" s="10">
        <v>90.35</v>
      </c>
      <c r="E9" s="10">
        <v>82.62</v>
      </c>
      <c r="F9" s="10">
        <v>163.24</v>
      </c>
      <c r="G9" s="10">
        <v>33.119999999999997</v>
      </c>
      <c r="H9" s="10">
        <v>165.24</v>
      </c>
      <c r="I9" s="10">
        <f t="shared" si="0"/>
        <v>600.92000000000007</v>
      </c>
    </row>
    <row r="10" spans="2:11" ht="21" thickBot="1" x14ac:dyDescent="0.25">
      <c r="B10" s="11">
        <v>46113</v>
      </c>
      <c r="C10" s="10">
        <v>66.349999999999994</v>
      </c>
      <c r="D10" s="10">
        <v>90.35</v>
      </c>
      <c r="E10" s="10">
        <v>82.62</v>
      </c>
      <c r="F10" s="10">
        <v>163.24</v>
      </c>
      <c r="G10" s="10">
        <v>33.119999999999997</v>
      </c>
      <c r="H10" s="10">
        <v>165.24</v>
      </c>
      <c r="I10" s="10">
        <f t="shared" si="0"/>
        <v>600.92000000000007</v>
      </c>
    </row>
    <row r="11" spans="2:11" ht="21" thickBot="1" x14ac:dyDescent="0.25">
      <c r="B11" s="11">
        <v>46143</v>
      </c>
      <c r="C11" s="10">
        <v>66.349999999999994</v>
      </c>
      <c r="D11" s="10">
        <v>90.35</v>
      </c>
      <c r="E11" s="10">
        <v>82.62</v>
      </c>
      <c r="F11" s="10">
        <v>163.24</v>
      </c>
      <c r="G11" s="10">
        <v>33.119999999999997</v>
      </c>
      <c r="H11" s="10">
        <v>165.24</v>
      </c>
      <c r="I11" s="10">
        <f t="shared" si="0"/>
        <v>600.92000000000007</v>
      </c>
      <c r="K11" s="6"/>
    </row>
    <row r="12" spans="2:11" ht="21" thickBot="1" x14ac:dyDescent="0.25">
      <c r="B12" s="11">
        <v>46174</v>
      </c>
      <c r="C12" s="10">
        <v>66.33</v>
      </c>
      <c r="D12" s="10">
        <v>90.37</v>
      </c>
      <c r="E12" s="10">
        <v>82.64</v>
      </c>
      <c r="F12" s="10">
        <v>163.24</v>
      </c>
      <c r="G12" s="10">
        <v>33.090000000000003</v>
      </c>
      <c r="H12" s="10">
        <v>165.25</v>
      </c>
      <c r="I12" s="10">
        <f t="shared" si="0"/>
        <v>600.91999999999996</v>
      </c>
      <c r="K12" s="6"/>
    </row>
    <row r="13" spans="2:11" ht="21" thickBot="1" x14ac:dyDescent="0.25">
      <c r="B13" s="11">
        <v>46204</v>
      </c>
      <c r="C13" s="10"/>
      <c r="D13" s="10"/>
      <c r="E13" s="10"/>
      <c r="F13" s="10"/>
      <c r="G13" s="10"/>
      <c r="H13" s="10"/>
      <c r="I13" s="10">
        <f t="shared" si="0"/>
        <v>0</v>
      </c>
    </row>
    <row r="14" spans="2:11" ht="21" thickBot="1" x14ac:dyDescent="0.25">
      <c r="B14" s="11">
        <v>46235</v>
      </c>
      <c r="C14" s="10"/>
      <c r="D14" s="10"/>
      <c r="E14" s="10"/>
      <c r="F14" s="10"/>
      <c r="G14" s="10"/>
      <c r="H14" s="10"/>
      <c r="I14" s="10">
        <f t="shared" si="0"/>
        <v>0</v>
      </c>
    </row>
    <row r="15" spans="2:11" ht="21" thickBot="1" x14ac:dyDescent="0.25">
      <c r="B15" s="11">
        <v>46296</v>
      </c>
      <c r="C15" s="10"/>
      <c r="D15" s="12"/>
      <c r="E15" s="10"/>
      <c r="F15" s="13"/>
      <c r="G15" s="13"/>
      <c r="H15" s="13"/>
      <c r="I15" s="10">
        <f t="shared" si="0"/>
        <v>0</v>
      </c>
    </row>
    <row r="16" spans="2:11" ht="21" thickBot="1" x14ac:dyDescent="0.25">
      <c r="B16" s="11">
        <v>46327</v>
      </c>
      <c r="C16" s="10"/>
      <c r="D16" s="12"/>
      <c r="E16" s="10"/>
      <c r="F16" s="13"/>
      <c r="G16" s="13"/>
      <c r="H16" s="13"/>
      <c r="I16" s="10">
        <f t="shared" si="0"/>
        <v>0</v>
      </c>
    </row>
    <row r="17" spans="2:9" ht="21" thickBot="1" x14ac:dyDescent="0.25">
      <c r="B17" s="11">
        <v>46357</v>
      </c>
      <c r="C17" s="10"/>
      <c r="D17" s="12"/>
      <c r="E17" s="13"/>
      <c r="F17" s="13"/>
      <c r="G17" s="13"/>
      <c r="H17" s="13"/>
      <c r="I17" s="10">
        <f t="shared" si="0"/>
        <v>0</v>
      </c>
    </row>
    <row r="18" spans="2:9" ht="21" thickBot="1" x14ac:dyDescent="0.25">
      <c r="B18" s="7" t="s">
        <v>34</v>
      </c>
      <c r="C18" s="10">
        <f>SUM(C5-C7-C8-C9-C10-C11-C12-C13-C14-C15-C17)</f>
        <v>1.4210854715202004E-14</v>
      </c>
      <c r="D18" s="10">
        <f>SUM(D5-D7-D8-D9-D10-D11-D12-D13-D14-D15-D16-D17)</f>
        <v>-5.6843418860808015E-14</v>
      </c>
      <c r="E18" s="10">
        <f>SUM(E5-E7-E8-E9-E10-E11-E12-E13-E14-E15-E16-E17)</f>
        <v>-1.4210854715202004E-14</v>
      </c>
      <c r="F18" s="10">
        <f>SUM(F5-F7-F8-F9-F10-F11-F12-F13-F14-F15-F16-F17)</f>
        <v>0</v>
      </c>
      <c r="G18" s="10">
        <f>SUM(G5-G7-G8-G9-G10-G11-G12-G13-G14-G15-G16-G17)</f>
        <v>-2.1316282072803006E-14</v>
      </c>
      <c r="H18" s="10">
        <f>SUM(H5-H7-H8-H9-H10-H11-H12-H13-H14-H15-H16-H17)</f>
        <v>0</v>
      </c>
      <c r="I18" s="7"/>
    </row>
    <row r="19" spans="2:9" ht="21" thickBot="1" x14ac:dyDescent="0.25">
      <c r="B19" s="8"/>
      <c r="C19" s="14"/>
      <c r="D19" s="14"/>
      <c r="E19" s="14"/>
      <c r="F19" s="14"/>
      <c r="G19" s="14"/>
      <c r="H19" s="14"/>
      <c r="I19" s="8"/>
    </row>
    <row r="20" spans="2:9" ht="21" thickBot="1" x14ac:dyDescent="0.25">
      <c r="B20" s="7" t="s">
        <v>40</v>
      </c>
      <c r="C20" s="8"/>
      <c r="D20" s="7" t="s">
        <v>41</v>
      </c>
      <c r="E20" s="8"/>
      <c r="F20" s="8"/>
      <c r="G20" s="7" t="s">
        <v>42</v>
      </c>
      <c r="H20" s="8"/>
      <c r="I20" s="8"/>
    </row>
    <row r="21" spans="2:9" ht="21" thickBot="1" x14ac:dyDescent="0.25">
      <c r="B21" s="7" t="s">
        <v>25</v>
      </c>
      <c r="C21" s="10">
        <v>43.5</v>
      </c>
      <c r="D21" s="7" t="s">
        <v>26</v>
      </c>
      <c r="E21" s="10">
        <v>749.8</v>
      </c>
      <c r="F21" s="8"/>
      <c r="G21" s="11">
        <v>46023</v>
      </c>
      <c r="H21" s="10">
        <f>SUM(E23-I7-C29-E29-C37)</f>
        <v>287.36999999999995</v>
      </c>
      <c r="I21" s="8"/>
    </row>
    <row r="22" spans="2:9" ht="21" thickBot="1" x14ac:dyDescent="0.25">
      <c r="B22" s="15" t="s">
        <v>36</v>
      </c>
      <c r="C22" s="10">
        <v>23.33</v>
      </c>
      <c r="D22" s="7" t="s">
        <v>27</v>
      </c>
      <c r="E22" s="10">
        <v>775.2</v>
      </c>
      <c r="F22" s="8"/>
      <c r="G22" s="11">
        <v>46054</v>
      </c>
      <c r="H22" s="10">
        <f>SUM(E23-I8-C29-E29-C37)</f>
        <v>287.36999999999995</v>
      </c>
      <c r="I22" s="8"/>
    </row>
    <row r="23" spans="2:9" ht="21" thickBot="1" x14ac:dyDescent="0.25">
      <c r="B23" s="7" t="s">
        <v>0</v>
      </c>
      <c r="C23" s="10">
        <v>46.99</v>
      </c>
      <c r="D23" s="7" t="s">
        <v>2</v>
      </c>
      <c r="E23" s="10">
        <f>SUM(E21:E22)</f>
        <v>1525</v>
      </c>
      <c r="F23" s="8"/>
      <c r="G23" s="11">
        <v>46082</v>
      </c>
      <c r="H23" s="10">
        <f>SUM(E23-I9-C29-E29-C37)</f>
        <v>287.36999999999995</v>
      </c>
      <c r="I23" s="8"/>
    </row>
    <row r="24" spans="2:9" ht="21" thickBot="1" x14ac:dyDescent="0.25">
      <c r="B24" s="7" t="s">
        <v>3</v>
      </c>
      <c r="C24" s="10">
        <v>5</v>
      </c>
      <c r="D24" s="8"/>
      <c r="E24" s="8"/>
      <c r="F24" s="8"/>
      <c r="G24" s="11">
        <v>46113</v>
      </c>
      <c r="H24" s="10">
        <f>SUM(E23-I10-C29-E29-C37)</f>
        <v>287.36999999999995</v>
      </c>
      <c r="I24" s="8"/>
    </row>
    <row r="25" spans="2:9" ht="21" thickBot="1" x14ac:dyDescent="0.25">
      <c r="B25" s="7" t="s">
        <v>10</v>
      </c>
      <c r="C25" s="10">
        <v>8.31</v>
      </c>
      <c r="D25" s="7" t="s">
        <v>28</v>
      </c>
      <c r="E25" s="8"/>
      <c r="F25" s="8"/>
      <c r="G25" s="11">
        <v>46143</v>
      </c>
      <c r="H25" s="10">
        <f>SUM(E23-I11-C29-E29)</f>
        <v>322.93999999999994</v>
      </c>
      <c r="I25" s="8"/>
    </row>
    <row r="26" spans="2:9" ht="21" thickBot="1" x14ac:dyDescent="0.25">
      <c r="B26" s="7" t="s">
        <v>20</v>
      </c>
      <c r="C26" s="10">
        <v>100</v>
      </c>
      <c r="D26" s="7" t="s">
        <v>44</v>
      </c>
      <c r="E26" s="10">
        <f>SUM(39.75*4)</f>
        <v>159</v>
      </c>
      <c r="F26" s="8"/>
      <c r="G26" s="11">
        <v>46174</v>
      </c>
      <c r="H26" s="10">
        <f>SUM(E23-I12-C29-E29-C37)</f>
        <v>287.37000000000006</v>
      </c>
      <c r="I26" s="14"/>
    </row>
    <row r="27" spans="2:9" ht="21" thickBot="1" x14ac:dyDescent="0.25">
      <c r="B27" s="9" t="s">
        <v>9</v>
      </c>
      <c r="C27" s="16">
        <v>16.510000000000002</v>
      </c>
      <c r="D27" s="7" t="s">
        <v>38</v>
      </c>
      <c r="E27" s="10">
        <f>SUM(1.45*30)</f>
        <v>43.5</v>
      </c>
      <c r="F27" s="8"/>
      <c r="G27" s="11">
        <v>46204</v>
      </c>
      <c r="H27" s="10">
        <f>SUM(E23-I13-C29-E29-C37)</f>
        <v>888.29000000000008</v>
      </c>
      <c r="I27" s="8"/>
    </row>
    <row r="28" spans="2:9" ht="21" thickBot="1" x14ac:dyDescent="0.25">
      <c r="B28" s="7" t="s">
        <v>1</v>
      </c>
      <c r="C28" s="10">
        <v>55</v>
      </c>
      <c r="D28" s="7" t="s">
        <v>8</v>
      </c>
      <c r="E28" s="10">
        <v>100</v>
      </c>
      <c r="F28" s="8"/>
      <c r="G28" s="11">
        <v>46235</v>
      </c>
      <c r="H28" s="10">
        <f>SUM(E23-I14-C29-E29-C37)</f>
        <v>888.29000000000008</v>
      </c>
      <c r="I28" s="8"/>
    </row>
    <row r="29" spans="2:9" ht="21" thickBot="1" x14ac:dyDescent="0.25">
      <c r="B29" s="17" t="s">
        <v>2</v>
      </c>
      <c r="C29" s="18">
        <f>SUM(C21:C28)</f>
        <v>298.64</v>
      </c>
      <c r="D29" s="7" t="s">
        <v>2</v>
      </c>
      <c r="E29" s="10">
        <f>SUM(E26:E28)</f>
        <v>302.5</v>
      </c>
      <c r="F29" s="8"/>
      <c r="G29" s="11">
        <v>46296</v>
      </c>
      <c r="H29" s="10">
        <f>SUM(E23-C29-E29-C37)</f>
        <v>888.29000000000008</v>
      </c>
      <c r="I29" s="8"/>
    </row>
    <row r="30" spans="2:9" ht="21" thickBot="1" x14ac:dyDescent="0.25">
      <c r="B30" s="8"/>
      <c r="C30" s="8"/>
      <c r="D30" s="8"/>
      <c r="E30" s="8"/>
      <c r="F30" s="8"/>
      <c r="G30" s="11">
        <v>46327</v>
      </c>
      <c r="H30" s="10">
        <f>SUM(E23-C29-E29-C37)</f>
        <v>888.29000000000008</v>
      </c>
      <c r="I30" s="8"/>
    </row>
    <row r="31" spans="2:9" ht="21" thickBot="1" x14ac:dyDescent="0.25">
      <c r="B31" s="7" t="s">
        <v>43</v>
      </c>
      <c r="C31" s="8"/>
      <c r="D31" s="8"/>
      <c r="E31" s="8"/>
      <c r="F31" s="8"/>
      <c r="G31" s="11">
        <v>46357</v>
      </c>
      <c r="H31" s="10">
        <f>SUM(E23-C29-E29-C37)</f>
        <v>888.29000000000008</v>
      </c>
      <c r="I31" s="8"/>
    </row>
    <row r="32" spans="2:9" ht="21" thickBot="1" x14ac:dyDescent="0.25">
      <c r="B32" s="7" t="s">
        <v>22</v>
      </c>
      <c r="C32" s="10"/>
      <c r="D32" s="8"/>
      <c r="E32" s="8"/>
      <c r="F32" s="8"/>
      <c r="G32" s="8"/>
      <c r="H32" s="8"/>
      <c r="I32" s="8"/>
    </row>
    <row r="33" spans="2:9" ht="21" thickBot="1" x14ac:dyDescent="0.25">
      <c r="B33" s="7" t="s">
        <v>21</v>
      </c>
      <c r="C33" s="10">
        <f>SUM(8.99+2.99)</f>
        <v>11.98</v>
      </c>
      <c r="D33" s="8"/>
      <c r="E33" s="8"/>
      <c r="F33" s="8"/>
      <c r="G33" s="8"/>
      <c r="H33" s="8"/>
      <c r="I33" s="8"/>
    </row>
    <row r="34" spans="2:9" ht="21" thickBot="1" x14ac:dyDescent="0.25">
      <c r="B34" s="19" t="s">
        <v>23</v>
      </c>
      <c r="C34" s="10">
        <v>14.39</v>
      </c>
      <c r="D34" s="8"/>
      <c r="E34" s="8"/>
      <c r="F34" s="8"/>
      <c r="G34" s="8"/>
      <c r="H34" s="8"/>
      <c r="I34" s="8"/>
    </row>
    <row r="35" spans="2:9" ht="21" thickBot="1" x14ac:dyDescent="0.25">
      <c r="B35" s="7" t="s">
        <v>24</v>
      </c>
      <c r="C35" s="10">
        <v>9.1999999999999993</v>
      </c>
      <c r="D35" s="8"/>
      <c r="E35" s="8"/>
      <c r="F35" s="8"/>
      <c r="G35" s="8"/>
      <c r="H35" s="8"/>
      <c r="I35" s="8"/>
    </row>
    <row r="36" spans="2:9" ht="21" thickBot="1" x14ac:dyDescent="0.25">
      <c r="B36" s="7" t="s">
        <v>29</v>
      </c>
      <c r="C36" s="10"/>
      <c r="D36" s="8"/>
      <c r="E36" s="8"/>
      <c r="F36" s="8"/>
      <c r="G36" s="8"/>
      <c r="H36" s="8"/>
      <c r="I36" s="8"/>
    </row>
    <row r="37" spans="2:9" ht="21" thickBot="1" x14ac:dyDescent="0.25">
      <c r="B37" s="7" t="s">
        <v>2</v>
      </c>
      <c r="C37" s="10">
        <f>SUM(C33:C36)</f>
        <v>35.57</v>
      </c>
      <c r="D37" s="8"/>
      <c r="E37" s="8"/>
      <c r="F37" s="8"/>
      <c r="G37" s="8"/>
      <c r="H37" s="8"/>
      <c r="I37" s="8"/>
    </row>
  </sheetData>
  <pageMargins left="0.25" right="0.25" top="0.75" bottom="0.75" header="0.3" footer="0.3"/>
  <pageSetup paperSize="9" scale="63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4939-5ADA-144C-B420-49A9D1F50AC5}">
  <sheetPr>
    <tabColor rgb="FF00B050"/>
  </sheetPr>
  <dimension ref="B3:D27"/>
  <sheetViews>
    <sheetView tabSelected="1" workbookViewId="0">
      <selection activeCell="C28" sqref="C28"/>
    </sheetView>
  </sheetViews>
  <sheetFormatPr baseColWidth="10" defaultRowHeight="16" x14ac:dyDescent="0.2"/>
  <cols>
    <col min="2" max="2" width="63.5" bestFit="1" customWidth="1"/>
    <col min="3" max="3" width="20.6640625" bestFit="1" customWidth="1"/>
    <col min="4" max="4" width="30.83203125" bestFit="1" customWidth="1"/>
  </cols>
  <sheetData>
    <row r="3" spans="2:4" ht="30" x14ac:dyDescent="0.3">
      <c r="B3" s="1" t="s">
        <v>12</v>
      </c>
      <c r="C3" s="2">
        <v>700</v>
      </c>
      <c r="D3" s="3" t="s">
        <v>16</v>
      </c>
    </row>
    <row r="4" spans="2:4" ht="30" x14ac:dyDescent="0.3">
      <c r="B4" s="1" t="s">
        <v>13</v>
      </c>
      <c r="C4" s="2">
        <v>200</v>
      </c>
      <c r="D4" s="3" t="s">
        <v>15</v>
      </c>
    </row>
    <row r="5" spans="2:4" ht="30" x14ac:dyDescent="0.3">
      <c r="B5" s="1" t="s">
        <v>19</v>
      </c>
      <c r="C5" s="4">
        <v>1178</v>
      </c>
      <c r="D5" s="3" t="s">
        <v>17</v>
      </c>
    </row>
    <row r="6" spans="2:4" ht="30" x14ac:dyDescent="0.3">
      <c r="B6" s="1" t="s">
        <v>14</v>
      </c>
      <c r="C6" s="2">
        <v>170</v>
      </c>
      <c r="D6" s="3" t="s">
        <v>14</v>
      </c>
    </row>
    <row r="7" spans="2:4" ht="30" x14ac:dyDescent="0.3">
      <c r="B7" s="1" t="s">
        <v>30</v>
      </c>
      <c r="C7" s="2">
        <v>200</v>
      </c>
      <c r="D7" s="3" t="s">
        <v>18</v>
      </c>
    </row>
    <row r="8" spans="2:4" ht="30" x14ac:dyDescent="0.3">
      <c r="B8" s="1" t="s">
        <v>46</v>
      </c>
      <c r="C8" s="2">
        <v>28.04</v>
      </c>
      <c r="D8" s="5"/>
    </row>
    <row r="9" spans="2:4" ht="30" x14ac:dyDescent="0.3">
      <c r="B9" s="1" t="s">
        <v>47</v>
      </c>
      <c r="C9" s="2">
        <v>5.99</v>
      </c>
      <c r="D9" s="5"/>
    </row>
    <row r="10" spans="2:4" ht="30" x14ac:dyDescent="0.3">
      <c r="B10" s="1" t="s">
        <v>48</v>
      </c>
      <c r="C10" s="2">
        <v>142.75</v>
      </c>
      <c r="D10" s="5"/>
    </row>
    <row r="11" spans="2:4" ht="30" x14ac:dyDescent="0.3">
      <c r="B11" s="1" t="s">
        <v>49</v>
      </c>
      <c r="C11" s="2">
        <v>20.99</v>
      </c>
      <c r="D11" s="5"/>
    </row>
    <row r="12" spans="2:4" ht="30" x14ac:dyDescent="0.3">
      <c r="B12" s="1" t="s">
        <v>50</v>
      </c>
      <c r="C12" s="2">
        <v>14.99</v>
      </c>
      <c r="D12" s="5"/>
    </row>
    <row r="13" spans="2:4" ht="30" x14ac:dyDescent="0.3">
      <c r="B13" s="1" t="s">
        <v>51</v>
      </c>
      <c r="C13" s="2">
        <v>32.99</v>
      </c>
      <c r="D13" s="5"/>
    </row>
    <row r="14" spans="2:4" ht="30" x14ac:dyDescent="0.3">
      <c r="B14" s="1" t="s">
        <v>52</v>
      </c>
      <c r="C14" s="2">
        <v>21.99</v>
      </c>
      <c r="D14" s="5"/>
    </row>
    <row r="15" spans="2:4" ht="30" x14ac:dyDescent="0.3">
      <c r="B15" s="1" t="s">
        <v>53</v>
      </c>
      <c r="C15" s="2">
        <v>21.69</v>
      </c>
      <c r="D15" s="5"/>
    </row>
    <row r="16" spans="2:4" ht="30" x14ac:dyDescent="0.3">
      <c r="B16" s="1"/>
      <c r="C16" s="2"/>
      <c r="D16" s="5"/>
    </row>
    <row r="17" spans="2:4" ht="30" x14ac:dyDescent="0.3">
      <c r="B17" s="1"/>
      <c r="C17" s="2"/>
      <c r="D17" s="5"/>
    </row>
    <row r="18" spans="2:4" ht="30" x14ac:dyDescent="0.3">
      <c r="B18" s="1"/>
      <c r="C18" s="2"/>
      <c r="D18" s="5"/>
    </row>
    <row r="19" spans="2:4" ht="30" x14ac:dyDescent="0.3">
      <c r="B19" s="1"/>
      <c r="C19" s="2"/>
      <c r="D19" s="5"/>
    </row>
    <row r="20" spans="2:4" ht="30" x14ac:dyDescent="0.3">
      <c r="B20" s="1"/>
      <c r="C20" s="2"/>
      <c r="D20" s="5"/>
    </row>
    <row r="21" spans="2:4" ht="30" x14ac:dyDescent="0.3">
      <c r="B21" s="1"/>
      <c r="C21" s="2"/>
      <c r="D21" s="5"/>
    </row>
    <row r="22" spans="2:4" ht="30" x14ac:dyDescent="0.3">
      <c r="B22" s="1"/>
      <c r="C22" s="2"/>
      <c r="D22" s="5"/>
    </row>
    <row r="23" spans="2:4" ht="30" x14ac:dyDescent="0.3">
      <c r="B23" s="1"/>
      <c r="C23" s="2"/>
      <c r="D23" s="5"/>
    </row>
    <row r="24" spans="2:4" ht="30" x14ac:dyDescent="0.3">
      <c r="B24" s="1"/>
      <c r="C24" s="2"/>
      <c r="D24" s="5"/>
    </row>
    <row r="25" spans="2:4" ht="30" x14ac:dyDescent="0.3">
      <c r="B25" s="1"/>
      <c r="C25" s="2"/>
      <c r="D25" s="5"/>
    </row>
    <row r="26" spans="2:4" ht="30" x14ac:dyDescent="0.3">
      <c r="B26" s="1"/>
      <c r="C26" s="2"/>
      <c r="D26" s="5"/>
    </row>
    <row r="27" spans="2:4" ht="30" x14ac:dyDescent="0.3">
      <c r="B27" s="1" t="s">
        <v>2</v>
      </c>
      <c r="C27" s="2">
        <f>SUM(C3:C26)</f>
        <v>2737.4299999999989</v>
      </c>
    </row>
  </sheetData>
  <hyperlinks>
    <hyperlink ref="D4" r:id="rId1" xr:uid="{C811EA7A-518E-7E4E-81BB-535738147685}"/>
    <hyperlink ref="D3" r:id="rId2" xr:uid="{6F50BB70-5202-8C4C-A0D4-793904BF22E4}"/>
    <hyperlink ref="D5" r:id="rId3" xr:uid="{4263D0FE-4396-7C4F-9FCC-73A8208347B7}"/>
    <hyperlink ref="D6" r:id="rId4" xr:uid="{13051255-C137-A544-8AEF-B2368EC3F812}"/>
    <hyperlink ref="D7" r:id="rId5" xr:uid="{B2928420-C470-5745-B822-02273929A60D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Ongoing Bills 2026</vt:lpstr>
      <vt:lpstr>PURCHASES NEXT YEAR OR 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Higdon</dc:creator>
  <cp:lastModifiedBy>Phil Higdon</cp:lastModifiedBy>
  <cp:lastPrinted>2025-12-03T17:22:20Z</cp:lastPrinted>
  <dcterms:created xsi:type="dcterms:W3CDTF">2025-02-25T10:05:03Z</dcterms:created>
  <dcterms:modified xsi:type="dcterms:W3CDTF">2026-01-09T15:12:57Z</dcterms:modified>
</cp:coreProperties>
</file>